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oral\Downloads\"/>
    </mc:Choice>
  </mc:AlternateContent>
  <xr:revisionPtr revIDLastSave="0" documentId="13_ncr:1_{67BB3647-3A7E-4130-8F4E-2E1C9DF9279B}" xr6:coauthVersionLast="47" xr6:coauthVersionMax="47" xr10:uidLastSave="{00000000-0000-0000-0000-000000000000}"/>
  <bookViews>
    <workbookView xWindow="-80" yWindow="-80" windowWidth="23200" windowHeight="14800" xr2:uid="{279014DC-DD05-4F79-8859-C6A019D72D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5" i="1"/>
</calcChain>
</file>

<file path=xl/sharedStrings.xml><?xml version="1.0" encoding="utf-8"?>
<sst xmlns="http://schemas.openxmlformats.org/spreadsheetml/2006/main" count="91" uniqueCount="70">
  <si>
    <t>Part Name</t>
  </si>
  <si>
    <t>Link</t>
  </si>
  <si>
    <t>Price (£)</t>
  </si>
  <si>
    <t>OPA320 Operational Amplifier</t>
  </si>
  <si>
    <t>CPC Farnell</t>
  </si>
  <si>
    <t>OSRAM SFH213 Photodiode</t>
  </si>
  <si>
    <t>https://cpc.farnell.com/osram/sfh213/photodiode/dp/SC07707?st=osram</t>
  </si>
  <si>
    <t>Bojack (Via Amazon)</t>
  </si>
  <si>
    <t>https://www.amazon.co.uk/BOJACK-Variable-Resistor-Potentiometer-Assortment/dp/B07WRWHCMC/ref=sr_1_1_sspa?crid=OBMF3N1R4WL6&amp;dib=eyJ2IjoiMSJ9.GafQyERpXop_KBGPKoFPfpFxC_t7js-cHpRE5-ucqAq02K0qesuTMOpW6kt732U7bL2vz5Peq735EqvtJWDpOCdt11UzgmovxncjqOM79aYxIIp0mTzhEkVOIfJpKDosav4L62YkzboKOBAU3dx6pm0gJET7Uop6b7rDEFXNXYCPItVh3jue1PWKMFtYX3IOm4H61JEfuRTVTUDuVeOl2EoHuuSI4SPbm9EDev1qPWKJgrceIJVQ-dXkPSJzHF3jyDAX4NRJUDDg9uXivN9haxNBU-R05BHRRM04Mmd5cgc.6F6kvDG7USkNjCp1IAG_vM65Nf2hAqDtQiSYy0yaGNk&amp;dib_tag=se&amp;keywords=bojack+potentiometer+150+pieces&amp;qid=1740589884&amp;sprefix=bojack+potentiometer+150+pieces%2Caps%2C134&amp;sr=8-1-spons&amp;sp_csd=d2lkZ2V0TmFtZT1zcF9hdGY&amp;psc=1</t>
  </si>
  <si>
    <t>MCP 3008 8-Channel 10-Bit ADC</t>
  </si>
  <si>
    <t>The Pi Hut</t>
  </si>
  <si>
    <t>https://thepihut.com/products/adafruit-mcp3008-8-channel-10-bit-adc-with-spi-interface</t>
  </si>
  <si>
    <t>Breadboard</t>
  </si>
  <si>
    <t>Rapid</t>
  </si>
  <si>
    <t>https://www.rapidonline.com/k-h-kh-102-prototyping-breadboard-390-tie-points-34-0650</t>
  </si>
  <si>
    <t>LED</t>
  </si>
  <si>
    <t>Jumper Wires M-M</t>
  </si>
  <si>
    <t>https://www.rapidonline.com/rapid-jw-d1-mm-jumper-wires-dupont-cable-m-m-26awg-1-pin-2-54mm-pitch-15cm-pk10-34-0677</t>
  </si>
  <si>
    <t>N-Channel MOSFET</t>
  </si>
  <si>
    <t>https://www.rapidonline.com/stp36nf06-mosfet-n-60v-30a-47-0207</t>
  </si>
  <si>
    <t>Ford Transit Van Interior Dome Light</t>
  </si>
  <si>
    <t>Ali Express</t>
  </si>
  <si>
    <t>https://www.aliexpress.com/item/1005008228479744.html?src=google&amp;pdp_npi=4%40dis!GBP!4.14!4.14!!!!!%40!12000044302780967!ppc!!!&amp;src=google&amp;albch=shopping&amp;acnt=494-037-6276&amp;isdl=y&amp;slnk=&amp;plac=&amp;mtctp=&amp;albbt=Google_7_shopping&amp;aff_platform=google&amp;aff_short_key=UneMJZVf&amp;gclsrc=aw.ds&amp;&amp;albagn=888888&amp;&amp;ds_e_adid=&amp;ds_e_matchtype=&amp;ds_e_device=c&amp;ds_e_network=x&amp;ds_e_product_group_id=&amp;ds_e_product_id=en1005008228479744&amp;ds_e_product_merchant_id=5485720714&amp;ds_e_product_country=GB&amp;ds_e_product_language=en&amp;ds_e_product_channel=online&amp;ds_e_product_store_id=&amp;ds_url_v=2&amp;albcp=17859472720&amp;albag=&amp;isSmbAutoCall=false&amp;needSmbHouyi=false&amp;gad_source=1&amp;gclid=CjwKCAiAlPu9BhAjEiwA5NDSA8ga2pscH3WCv7XVbAqTu-Uj5wFtF9M4qvsTj6UowC_CEoniePTB4RoCfeYQAvD_BwE</t>
  </si>
  <si>
    <t>KEY</t>
  </si>
  <si>
    <t>Quantity</t>
  </si>
  <si>
    <t>Place of Purchase</t>
  </si>
  <si>
    <t>Needed for Lamp</t>
  </si>
  <si>
    <t>Needed for Demonstration</t>
  </si>
  <si>
    <t>Resistors 56Ω</t>
  </si>
  <si>
    <t>Resistor 1kΩ</t>
  </si>
  <si>
    <t>Resistor 10kΩ</t>
  </si>
  <si>
    <t>Resistor 22kΩ</t>
  </si>
  <si>
    <t>500kΩ Potentiometer</t>
  </si>
  <si>
    <t>1MΩ Potentiometer</t>
  </si>
  <si>
    <t>https://cpc.farnell.com/texas-instruments/opa320aidbvt/op-amp-cmos-20mhz-5sot23/dp/SC17216?st=operational%20amplifier,%2020mhz,%2010v/us%20-%20texas%20instruments%20|%20cpc</t>
  </si>
  <si>
    <t>https://www.amazon.co.uk/BOJACK-Values-Resistor-Resistors-Assortment/dp/B08FD1XVL6/ref=sr_1_1_sspa?crid=3PM4DXD9W33IW&amp;dib=eyJ2IjoiMSJ9.V4tzksPxA3uImT36cmM_Fr66cSp_L85NpXM4ES2JWzYOkBNrZs6tVfg9kZo7_Bh_jNKHRRQXFSSYXV_Lg2bltDUHFYcUPYgoyPDOH8op9oVP03-shT-s9m-u4v5cVmC44s9eYxIjbMqmORAhVIgQG9wXCnHqzhdToN7bZMY8QMq8nBxW5VJt6A5nhEwXwnr_suKfTKjw9cldRlFtoea0gRE-P1vqmoOiY0CmdsG8axB8sr3AMK_wVX7FF0Y5RibTheNVCHzvePXHgW5ZlVkaWpfp-Tbs9ikMQwXiBhRGG0g.i3O-AxrL6GmnRmkwN2SfGSW7fa57DXauBBG-Lquo0j0&amp;dib_tag=se&amp;keywords=bojack%2Bresistor%2Bassortment%2Bkit&amp;qid=1741299854&amp;sprefix=bopjack%2Bresis%2Caps%2C92&amp;sr=8-1-spons&amp;sp_csd=d2lkZ2V0TmFtZT1zcF9hdGY&amp;th=1</t>
  </si>
  <si>
    <t>Price of Lamp (£)</t>
  </si>
  <si>
    <t>HARDWARE</t>
  </si>
  <si>
    <t>SOFTWARE</t>
  </si>
  <si>
    <t>Library Name</t>
  </si>
  <si>
    <t>Cost</t>
  </si>
  <si>
    <t>Adafruit_MCP3008</t>
  </si>
  <si>
    <t>matplotlib</t>
  </si>
  <si>
    <t>Customtkinter</t>
  </si>
  <si>
    <t>pandas</t>
  </si>
  <si>
    <t>Needed for App</t>
  </si>
  <si>
    <t>https://github.com/adafruit/Adafruit_MCP3008</t>
  </si>
  <si>
    <t>https://matplotlib.org/</t>
  </si>
  <si>
    <t>https://customtkinter.tomschimansky.com/</t>
  </si>
  <si>
    <t>https://pandas.pydata.org/</t>
  </si>
  <si>
    <t>Variable Power Supply</t>
  </si>
  <si>
    <t>Amazon</t>
  </si>
  <si>
    <t>Fixed Power Supply</t>
  </si>
  <si>
    <t>https://www.amazon.co.uk/dp/B07HFRZDRN?ref=cm_sw_r_cso_wa_apan_dp_43ZQHTA6CEM93MKTTBXF&amp;ref_=cm_sw_r_cso_wa_apan_dp_43ZQHTA6CEM93MKTTBXF&amp;social_share=cm_sw_r_cso_wa_apan_dp_43ZQHTA6CEM93MKTTBXF&amp;th=1</t>
  </si>
  <si>
    <t>Filament for 3D Print</t>
  </si>
  <si>
    <t>110g</t>
  </si>
  <si>
    <t>https://www.amazon.co.uk/eSUN-Filament-Dimensional-Accuracy-Printing/dp/B086GTG1D8/ref=asc_df_B086GTG1D8?mcid=6d27279c4d7e39c191d872e0db27c5c8&amp;hvocijid=1417253840599532592-B086GTG1D8-&amp;hvexpln=74&amp;tag=googshopuk-21&amp;linkCode=df0&amp;hvadid=696285193871&amp;hvpos=&amp;hvnetw=g&amp;hvrand=1417253840599532592&amp;hvpone=&amp;hvptwo=&amp;hvqmt=&amp;hvdev=c&amp;hvdvcmdl=&amp;hvlocint=&amp;hvlocphy=9193017&amp;hvtargid=pla-2281435178058&amp;psc=1&amp;gad_source=1</t>
  </si>
  <si>
    <t>https://www.amazon.co.uk/100-240V-Converter-Adapter-Portable-Approved/dp/B019RO949C/ref=mp_s_a_1_1_sspa?crid=1I14AD1ZQVFS4&amp;dib=eyJ2IjoiMSJ9.j69j5qjg-55EBNvZdXJeb0goy_4D8aRK97TzilGvVZmEkHI1UteIf80jpTmbhp_71WSxLoJbAYFZek7OX2sugwiHtn57TW67j0kubywMVuVhFya1PhMD1O1BjRSSiXCqC3WcDBIyjcG3XFsCcV1T352Wf-Yx3N3-av2wa0htSmIHzU8H7dxd-aBl32coD9I0bAhZw0GfRCjbzkVO0e8GrA.k4kyqDWxFP-GmD-r8DqAnYmfgAiwE9ZkLzdqC9awVLI&amp;dib_tag=se&amp;keywords=amazon+12v+adapter+dc&amp;qid=1742076824&amp;sprefix=amazon+12v+adapter+dc%2Caps%2C92&amp;sr=8-1-spons&amp;sp_csd=d2lkZ2V0TmFtZT1zcF9waG9uZV9zZWFyY2hfYXRm&amp;psc=1</t>
  </si>
  <si>
    <t>https://www.amazon.co.uk/LOGNWEI-Variable-4-Digital-%EF%BC%8CVariable-Electroplating/dp/B07MDVTTM7/ref=mp_s_a_1_8?crid=1T63SYRIVKAMH&amp;dib=eyJ2IjoiMSJ9.tKJaEE72lsRrZqxz3W63mDkvfUo0guIp0J_uediDFgcu6BicU75ugsT9m-OiAKTCyoXFXM9CBgi9nrKR_NLC5ZCGts7uWkpyO2NzSv9rhiYEqSGaHL9bOC4q2H-ewqkJidcs4Mpg6TN18f4kFTgyqfrV_G2lCwjYYQ7qPJRK-zm5b7dCOrA7VYEfeodpdtlFPWilasWqziQVyZtLPcuPsA.Zf-hFy3f9p9waqnZK99MGCSjJdOdimamAu96FxLIHUE&amp;dib_tag=se&amp;keywords=variable+12v+dc+power+supply&amp;qid=1742075898&amp;sprefix=variable+12v+dc+power+supply%2Caps%2C92&amp;sr=8-8</t>
  </si>
  <si>
    <t>NOTES</t>
  </si>
  <si>
    <t>Lamp Case Bottom</t>
  </si>
  <si>
    <t>-</t>
  </si>
  <si>
    <t>Lamp Case Lid</t>
  </si>
  <si>
    <t>Cost esimated</t>
  </si>
  <si>
    <t>Origin/brand/cost unknown</t>
  </si>
  <si>
    <t>Additional material needed to demonstrate our product working (not actually needed during normal use)</t>
  </si>
  <si>
    <t>Cost per unit is known</t>
  </si>
  <si>
    <t>Material found/not bought that could not be traced to an original place of purchase, cost has been estimated</t>
  </si>
  <si>
    <t>Total Price (including demonstration equipment not part of lamp) (£)</t>
  </si>
  <si>
    <t>Cost per unit is unknown, estimated by dividng total cost of bulk buy by no. components or cost of material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</si>
</sst>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1" applyBorder="1"/>
    <xf numFmtId="0" fontId="3" fillId="0" borderId="1" xfId="0" applyFont="1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2" borderId="1" xfId="0" applyFont="1" applyFill="1" applyBorder="1"/>
    <xf numFmtId="0" fontId="0" fillId="3" borderId="1" xfId="0" applyFill="1" applyBorder="1"/>
    <xf numFmtId="0" fontId="0" fillId="2" borderId="1" xfId="0" applyFill="1" applyBorder="1"/>
    <xf numFmtId="0" fontId="1" fillId="2" borderId="1" xfId="0" applyFont="1" applyFill="1" applyBorder="1"/>
    <xf numFmtId="0" fontId="0" fillId="4" borderId="1" xfId="0" applyFill="1" applyBorder="1"/>
    <xf numFmtId="0" fontId="0" fillId="4" borderId="0" xfId="0" applyFill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8" fontId="0" fillId="0" borderId="0" xfId="0" applyNumberFormat="1"/>
    <xf numFmtId="8" fontId="1" fillId="0" borderId="0" xfId="0" applyNumberFormat="1" applyFont="1"/>
    <xf numFmtId="8" fontId="3" fillId="0" borderId="0" xfId="0" applyNumberFormat="1" applyFont="1" applyAlignment="1">
      <alignment horizontal="right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1" fillId="6" borderId="1" xfId="0" applyFont="1" applyFill="1" applyBorder="1"/>
    <xf numFmtId="0" fontId="12" fillId="7" borderId="1" xfId="0" applyFont="1" applyFill="1" applyBorder="1"/>
    <xf numFmtId="0" fontId="0" fillId="6" borderId="1" xfId="0" applyFill="1" applyBorder="1"/>
    <xf numFmtId="0" fontId="1" fillId="7" borderId="1" xfId="0" applyFont="1" applyFill="1" applyBorder="1"/>
    <xf numFmtId="0" fontId="1" fillId="6" borderId="1" xfId="0" applyFont="1" applyFill="1" applyBorder="1"/>
    <xf numFmtId="0" fontId="3" fillId="6" borderId="1" xfId="0" applyFont="1" applyFill="1" applyBorder="1"/>
    <xf numFmtId="0" fontId="9" fillId="0" borderId="5" xfId="0" applyFont="1" applyBorder="1" applyAlignment="1">
      <alignment vertical="center"/>
    </xf>
    <xf numFmtId="0" fontId="0" fillId="0" borderId="5" xfId="0" applyBorder="1" applyAlignment="1"/>
    <xf numFmtId="0" fontId="0" fillId="0" borderId="5" xfId="0" applyBorder="1" applyAlignment="1">
      <alignment horizontal="left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2" fillId="0" borderId="2" xfId="1" applyBorder="1"/>
    <xf numFmtId="0" fontId="2" fillId="0" borderId="2" xfId="1" applyBorder="1" applyAlignment="1">
      <alignment wrapText="1"/>
    </xf>
    <xf numFmtId="0" fontId="2" fillId="0" borderId="2" xfId="1" applyBorder="1" applyAlignment="1">
      <alignment horizontal="center"/>
    </xf>
    <xf numFmtId="0" fontId="10" fillId="5" borderId="2" xfId="1" applyFont="1" applyFill="1" applyBorder="1" applyAlignment="1">
      <alignment horizontal="center"/>
    </xf>
    <xf numFmtId="2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pidonline.com/stp36nf06-mosfet-n-60v-30a-47-0207" TargetMode="External"/><Relationship Id="rId3" Type="http://schemas.openxmlformats.org/officeDocument/2006/relationships/hyperlink" Target="https://github.com/adafruit/Adafruit_MCP3008" TargetMode="External"/><Relationship Id="rId7" Type="http://schemas.openxmlformats.org/officeDocument/2006/relationships/hyperlink" Target="https://www.amazon.co.uk/dp/B07HFRZDRN?ref=cm_sw_r_cso_wa_apan_dp_43ZQHTA6CEM93MKTTBXF&amp;ref_=cm_sw_r_cso_wa_apan_dp_43ZQHTA6CEM93MKTTBXF&amp;social_share=cm_sw_r_cso_wa_apan_dp_43ZQHTA6CEM93MKTTBXF&amp;th=1" TargetMode="External"/><Relationship Id="rId12" Type="http://schemas.openxmlformats.org/officeDocument/2006/relationships/hyperlink" Target="https://thepihut.com/products/adafruit-mcp3008-8-channel-10-bit-adc-with-spi-interface" TargetMode="External"/><Relationship Id="rId2" Type="http://schemas.openxmlformats.org/officeDocument/2006/relationships/hyperlink" Target="https://cpc.farnell.com/texas-instruments/opa320aidbvt/op-amp-cmos-20mhz-5sot23/dp/SC17216?st=operational%20amplifier,%2020mhz,%2010v/us%20-%20texas%20instruments%20|%20cpc" TargetMode="External"/><Relationship Id="rId1" Type="http://schemas.openxmlformats.org/officeDocument/2006/relationships/hyperlink" Target="https://cpc.farnell.com/osram/sfh213/photodiode/dp/SC07707?st=osram" TargetMode="External"/><Relationship Id="rId6" Type="http://schemas.openxmlformats.org/officeDocument/2006/relationships/hyperlink" Target="https://pandas.pydata.org/" TargetMode="External"/><Relationship Id="rId11" Type="http://schemas.openxmlformats.org/officeDocument/2006/relationships/hyperlink" Target="https://www.amazon.co.uk/LOGNWEI-Variable-4-Digital-%EF%BC%8CVariable-Electroplating/dp/B07MDVTTM7/ref=mp_s_a_1_8?crid=1T63SYRIVKAMH&amp;dib=eyJ2IjoiMSJ9.tKJaEE72lsRrZqxz3W63mDkvfUo0guIp0J_uediDFgcu6BicU75ugsT9m-OiAKTCyoXFXM9CBgi9nrKR_NLC5ZCGts7uWkpyO2NzSv9rhiYEqSGaHL9bOC4q2H-ewqkJidcs4Mpg6TN18f4kFTgyqfrV_G2lCwjYYQ7qPJRK-zm5b7dCOrA7VYEfeodpdtlFPWilasWqziQVyZtLPcuPsA.Zf-hFy3f9p9waqnZK99MGCSjJdOdimamAu96FxLIHUE&amp;dib_tag=se&amp;keywords=variable+12v+dc+power+supply&amp;qid=1742075898&amp;sprefix=variable+12v+dc+power+supply%2Caps%2C92&amp;sr=8-8" TargetMode="External"/><Relationship Id="rId5" Type="http://schemas.openxmlformats.org/officeDocument/2006/relationships/hyperlink" Target="https://customtkinter.tomschimansky.com/" TargetMode="External"/><Relationship Id="rId10" Type="http://schemas.openxmlformats.org/officeDocument/2006/relationships/hyperlink" Target="https://www.amazon.co.uk/100-240V-Converter-Adapter-Portable-Approved/dp/B019RO949C/ref=mp_s_a_1_1_sspa?crid=1I14AD1ZQVFS4&amp;dib=eyJ2IjoiMSJ9.j69j5qjg-55EBNvZdXJeb0goy_4D8aRK97TzilGvVZmEkHI1UteIf80jpTmbhp_71WSxLoJbAYFZek7OX2sugwiHtn57TW67j0kubywMVuVhFya1PhMD1O1BjRSSiXCqC3WcDBIyjcG3XFsCcV1T352Wf-Yx3N3-av2wa0htSmIHzU8H7dxd-aBl32coD9I0bAhZw0GfRCjbzkVO0e8GrA.k4kyqDWxFP-GmD-r8DqAnYmfgAiwE9ZkLzdqC9awVLI&amp;dib_tag=se&amp;keywords=amazon+12v+adapter+dc&amp;qid=1742076824&amp;sprefix=amazon+12v+adapter+dc%2Caps%2C92&amp;sr=8-1-spons&amp;sp_csd=d2lkZ2V0TmFtZT1zcF9waG9uZV9zZWFyY2hfYXRm&amp;psc=1" TargetMode="External"/><Relationship Id="rId4" Type="http://schemas.openxmlformats.org/officeDocument/2006/relationships/hyperlink" Target="https://matplotlib.org/" TargetMode="External"/><Relationship Id="rId9" Type="http://schemas.openxmlformats.org/officeDocument/2006/relationships/hyperlink" Target="https://www.amazon.co.uk/eSUN-Filament-Dimensional-Accuracy-Printing/dp/B086GTG1D8/ref=asc_df_B086GTG1D8?mcid=6d27279c4d7e39c191d872e0db27c5c8&amp;hvocijid=1417253840599532592-B086GTG1D8-&amp;hvexpln=74&amp;tag=googshopuk-21&amp;linkCode=df0&amp;hvadid=696285193871&amp;hvpos=&amp;hvnetw=g&amp;hvrand=1417253840599532592&amp;hvpone=&amp;hvptwo=&amp;hvqmt=&amp;hvdev=c&amp;hvdvcmdl=&amp;hvlocint=&amp;hvlocphy=9193017&amp;hvtargid=pla-2281435178058&amp;psc=1&amp;gad_sourc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A602-FB58-46F6-B6FF-728F6362D674}">
  <dimension ref="B2:AA25"/>
  <sheetViews>
    <sheetView tabSelected="1" zoomScale="116" zoomScaleNormal="80" workbookViewId="0">
      <selection activeCell="G23" sqref="G23"/>
    </sheetView>
  </sheetViews>
  <sheetFormatPr defaultRowHeight="15" x14ac:dyDescent="0.25"/>
  <cols>
    <col min="2" max="2" width="5.28515625" customWidth="1"/>
    <col min="3" max="3" width="34" customWidth="1"/>
    <col min="4" max="4" width="9.28515625" customWidth="1"/>
    <col min="5" max="5" width="18.85546875" customWidth="1"/>
    <col min="6" max="6" width="33.140625" customWidth="1"/>
    <col min="7" max="8" width="8.42578125" customWidth="1"/>
    <col min="9" max="9" width="7.140625" customWidth="1"/>
    <col min="10" max="10" width="25.5703125" customWidth="1"/>
    <col min="11" max="11" width="41.85546875" customWidth="1"/>
    <col min="13" max="13" width="10.42578125" customWidth="1"/>
    <col min="14" max="14" width="9.140625" customWidth="1"/>
    <col min="15" max="15" width="25.5703125" customWidth="1"/>
  </cols>
  <sheetData>
    <row r="2" spans="2:27" ht="31.5" x14ac:dyDescent="0.25">
      <c r="B2" s="23" t="s">
        <v>37</v>
      </c>
      <c r="C2" s="24"/>
      <c r="D2" s="24"/>
      <c r="E2" s="24"/>
      <c r="F2" s="24"/>
      <c r="G2" s="24"/>
      <c r="H2" s="15"/>
      <c r="I2" s="25" t="s">
        <v>38</v>
      </c>
      <c r="J2" s="26"/>
      <c r="K2" s="26"/>
      <c r="L2" s="27"/>
      <c r="M2" s="20"/>
      <c r="N2" s="21" t="s">
        <v>23</v>
      </c>
      <c r="O2" s="22"/>
      <c r="P2" s="31" t="s">
        <v>59</v>
      </c>
      <c r="Q2" s="32"/>
      <c r="R2" s="32"/>
      <c r="S2" s="32"/>
      <c r="T2" s="32"/>
      <c r="U2" s="32"/>
      <c r="V2" s="32"/>
      <c r="W2" s="32"/>
      <c r="X2" s="32"/>
      <c r="Y2" s="32"/>
      <c r="Z2" s="33"/>
      <c r="AA2" s="44"/>
    </row>
    <row r="3" spans="2:27" x14ac:dyDescent="0.25">
      <c r="B3" s="2" t="s">
        <v>23</v>
      </c>
      <c r="C3" s="2" t="s">
        <v>0</v>
      </c>
      <c r="D3" s="8" t="s">
        <v>24</v>
      </c>
      <c r="E3" s="2" t="s">
        <v>25</v>
      </c>
      <c r="F3" s="2" t="s">
        <v>1</v>
      </c>
      <c r="G3" s="3" t="s">
        <v>2</v>
      </c>
      <c r="H3" s="16"/>
      <c r="I3" s="2" t="s">
        <v>23</v>
      </c>
      <c r="J3" s="2" t="s">
        <v>39</v>
      </c>
      <c r="K3" s="2" t="s">
        <v>1</v>
      </c>
      <c r="L3" s="2" t="s">
        <v>40</v>
      </c>
      <c r="N3" s="9"/>
      <c r="O3" s="4" t="s">
        <v>26</v>
      </c>
      <c r="P3" s="28" t="s">
        <v>66</v>
      </c>
      <c r="Q3" s="29"/>
      <c r="R3" s="29"/>
      <c r="S3" s="29"/>
      <c r="T3" s="29"/>
      <c r="U3" s="29"/>
      <c r="V3" s="29"/>
      <c r="W3" s="29"/>
      <c r="X3" s="29"/>
      <c r="Y3" s="29"/>
      <c r="Z3" s="30"/>
      <c r="AA3" s="45"/>
    </row>
    <row r="4" spans="2:27" x14ac:dyDescent="0.25">
      <c r="B4" s="4"/>
      <c r="C4" s="4"/>
      <c r="D4" s="7"/>
      <c r="E4" s="4"/>
      <c r="F4" s="50"/>
      <c r="G4" s="4"/>
      <c r="H4" s="17"/>
      <c r="I4" s="11"/>
      <c r="J4" s="4" t="s">
        <v>41</v>
      </c>
      <c r="K4" s="5" t="s">
        <v>46</v>
      </c>
      <c r="L4" s="4">
        <v>0</v>
      </c>
      <c r="N4" s="38"/>
      <c r="O4" s="4" t="s">
        <v>63</v>
      </c>
      <c r="P4" s="28" t="s">
        <v>69</v>
      </c>
      <c r="Q4" s="29"/>
      <c r="R4" s="29"/>
      <c r="S4" s="29"/>
      <c r="T4" s="29"/>
      <c r="U4" s="29"/>
      <c r="V4" s="29"/>
      <c r="W4" s="29"/>
      <c r="X4" s="29"/>
      <c r="Y4" s="29"/>
      <c r="Z4" s="30"/>
      <c r="AA4" s="45"/>
    </row>
    <row r="5" spans="2:27" x14ac:dyDescent="0.25">
      <c r="B5" s="11"/>
      <c r="C5" s="4" t="s">
        <v>3</v>
      </c>
      <c r="D5" s="7">
        <v>1</v>
      </c>
      <c r="E5" s="4" t="s">
        <v>4</v>
      </c>
      <c r="F5" s="50" t="s">
        <v>34</v>
      </c>
      <c r="G5" s="54">
        <v>1.87</v>
      </c>
      <c r="H5" s="17"/>
      <c r="I5" s="13"/>
      <c r="J5" s="4" t="s">
        <v>42</v>
      </c>
      <c r="K5" s="5" t="s">
        <v>47</v>
      </c>
      <c r="L5" s="4">
        <v>0</v>
      </c>
      <c r="N5" s="39"/>
      <c r="O5" s="4" t="s">
        <v>64</v>
      </c>
      <c r="P5" s="47" t="s">
        <v>67</v>
      </c>
      <c r="Q5" s="48"/>
      <c r="R5" s="48"/>
      <c r="S5" s="48"/>
      <c r="T5" s="48"/>
      <c r="U5" s="48"/>
      <c r="V5" s="48"/>
      <c r="W5" s="48"/>
      <c r="X5" s="48"/>
      <c r="Y5" s="48"/>
      <c r="Z5" s="49"/>
      <c r="AA5" s="45"/>
    </row>
    <row r="6" spans="2:27" x14ac:dyDescent="0.25">
      <c r="B6" s="11"/>
      <c r="C6" s="4" t="s">
        <v>5</v>
      </c>
      <c r="D6" s="7">
        <v>2</v>
      </c>
      <c r="E6" s="4" t="s">
        <v>4</v>
      </c>
      <c r="F6" s="50" t="s">
        <v>6</v>
      </c>
      <c r="G6" s="54">
        <v>0.96</v>
      </c>
      <c r="H6" s="17"/>
      <c r="I6" s="13"/>
      <c r="J6" s="4" t="s">
        <v>43</v>
      </c>
      <c r="K6" s="5" t="s">
        <v>48</v>
      </c>
      <c r="L6" s="4">
        <v>0</v>
      </c>
      <c r="N6" s="4"/>
      <c r="O6" s="4"/>
      <c r="P6" s="34"/>
      <c r="Q6" s="35"/>
      <c r="R6" s="35"/>
      <c r="S6" s="35"/>
      <c r="T6" s="35"/>
      <c r="U6" s="35"/>
      <c r="V6" s="35"/>
      <c r="W6" s="35"/>
      <c r="X6" s="35"/>
      <c r="Y6" s="35"/>
      <c r="Z6" s="36"/>
      <c r="AA6" s="45"/>
    </row>
    <row r="7" spans="2:27" x14ac:dyDescent="0.25">
      <c r="B7" s="40"/>
      <c r="C7" s="4" t="s">
        <v>28</v>
      </c>
      <c r="D7" s="7">
        <v>4</v>
      </c>
      <c r="E7" s="4" t="s">
        <v>7</v>
      </c>
      <c r="F7" s="50" t="s">
        <v>35</v>
      </c>
      <c r="G7" s="54">
        <v>0.04</v>
      </c>
      <c r="H7" s="17"/>
      <c r="I7" s="13"/>
      <c r="J7" s="4" t="s">
        <v>44</v>
      </c>
      <c r="K7" s="5" t="s">
        <v>49</v>
      </c>
      <c r="L7" s="4">
        <v>0</v>
      </c>
      <c r="N7" s="10"/>
      <c r="O7" s="4" t="s">
        <v>27</v>
      </c>
      <c r="P7" s="28" t="s">
        <v>65</v>
      </c>
      <c r="Q7" s="29"/>
      <c r="R7" s="29"/>
      <c r="S7" s="29"/>
      <c r="T7" s="29"/>
      <c r="U7" s="29"/>
      <c r="V7" s="29"/>
      <c r="W7" s="29"/>
      <c r="X7" s="29"/>
      <c r="Y7" s="29"/>
      <c r="Z7" s="30"/>
      <c r="AA7" s="46"/>
    </row>
    <row r="8" spans="2:27" x14ac:dyDescent="0.25">
      <c r="B8" s="40"/>
      <c r="C8" s="4" t="s">
        <v>29</v>
      </c>
      <c r="D8" s="7">
        <v>1</v>
      </c>
      <c r="E8" s="4" t="s">
        <v>7</v>
      </c>
      <c r="F8" s="50" t="s">
        <v>35</v>
      </c>
      <c r="G8" s="54">
        <v>0.01</v>
      </c>
      <c r="H8" s="17"/>
      <c r="N8" s="14"/>
      <c r="O8" s="4" t="s">
        <v>45</v>
      </c>
      <c r="P8" s="34"/>
      <c r="Q8" s="35"/>
      <c r="R8" s="35"/>
      <c r="S8" s="35"/>
      <c r="T8" s="35"/>
      <c r="U8" s="35"/>
      <c r="V8" s="35"/>
      <c r="W8" s="35"/>
      <c r="X8" s="35"/>
      <c r="Y8" s="35"/>
      <c r="Z8" s="36"/>
      <c r="AA8" s="45"/>
    </row>
    <row r="9" spans="2:27" x14ac:dyDescent="0.25">
      <c r="B9" s="40"/>
      <c r="C9" s="4" t="s">
        <v>30</v>
      </c>
      <c r="D9" s="7">
        <v>1</v>
      </c>
      <c r="E9" s="4" t="s">
        <v>7</v>
      </c>
      <c r="F9" s="50" t="s">
        <v>35</v>
      </c>
      <c r="G9" s="54">
        <v>0.01</v>
      </c>
      <c r="H9" s="17"/>
    </row>
    <row r="10" spans="2:27" x14ac:dyDescent="0.25">
      <c r="B10" s="40"/>
      <c r="C10" s="4" t="s">
        <v>31</v>
      </c>
      <c r="D10" s="7">
        <v>1</v>
      </c>
      <c r="E10" s="4" t="s">
        <v>7</v>
      </c>
      <c r="F10" s="50" t="s">
        <v>35</v>
      </c>
      <c r="G10" s="54">
        <v>0.01</v>
      </c>
      <c r="H10" s="17"/>
    </row>
    <row r="11" spans="2:27" x14ac:dyDescent="0.25">
      <c r="B11" s="40"/>
      <c r="C11" s="4" t="s">
        <v>32</v>
      </c>
      <c r="D11" s="7">
        <v>1</v>
      </c>
      <c r="E11" s="4" t="s">
        <v>7</v>
      </c>
      <c r="F11" s="50" t="s">
        <v>8</v>
      </c>
      <c r="G11" s="54">
        <v>7.0000000000000007E-2</v>
      </c>
      <c r="H11" s="17"/>
    </row>
    <row r="12" spans="2:27" ht="20.25" customHeight="1" x14ac:dyDescent="0.25">
      <c r="B12" s="40"/>
      <c r="C12" s="4" t="s">
        <v>33</v>
      </c>
      <c r="D12" s="7">
        <v>1</v>
      </c>
      <c r="E12" s="4" t="s">
        <v>7</v>
      </c>
      <c r="F12" s="50" t="s">
        <v>8</v>
      </c>
      <c r="G12" s="54">
        <v>7.0000000000000007E-2</v>
      </c>
      <c r="H12" s="17"/>
    </row>
    <row r="13" spans="2:27" ht="19.5" customHeight="1" x14ac:dyDescent="0.25">
      <c r="B13" s="11"/>
      <c r="C13" s="4" t="s">
        <v>9</v>
      </c>
      <c r="D13" s="7">
        <v>1</v>
      </c>
      <c r="E13" s="4" t="s">
        <v>10</v>
      </c>
      <c r="F13" s="50" t="s">
        <v>11</v>
      </c>
      <c r="G13" s="54">
        <v>3.3</v>
      </c>
      <c r="H13" s="17"/>
    </row>
    <row r="14" spans="2:27" ht="45" x14ac:dyDescent="0.25">
      <c r="B14" s="11"/>
      <c r="C14" s="4" t="s">
        <v>12</v>
      </c>
      <c r="D14" s="7">
        <v>2</v>
      </c>
      <c r="E14" s="4" t="s">
        <v>13</v>
      </c>
      <c r="F14" s="51" t="s">
        <v>14</v>
      </c>
      <c r="G14" s="54">
        <v>20.6</v>
      </c>
      <c r="H14" s="17"/>
    </row>
    <row r="15" spans="2:27" x14ac:dyDescent="0.25">
      <c r="B15" s="11"/>
      <c r="C15" s="4" t="s">
        <v>15</v>
      </c>
      <c r="D15" s="7">
        <v>1</v>
      </c>
      <c r="E15" s="4" t="s">
        <v>51</v>
      </c>
      <c r="F15" s="50" t="s">
        <v>53</v>
      </c>
      <c r="G15" s="54">
        <v>5.25</v>
      </c>
      <c r="H15" s="18"/>
    </row>
    <row r="16" spans="2:27" x14ac:dyDescent="0.25">
      <c r="B16" s="43"/>
      <c r="C16" s="4" t="s">
        <v>16</v>
      </c>
      <c r="D16" s="7">
        <v>12</v>
      </c>
      <c r="E16" s="4" t="s">
        <v>13</v>
      </c>
      <c r="F16" s="50" t="s">
        <v>17</v>
      </c>
      <c r="G16" s="54">
        <v>3.86</v>
      </c>
      <c r="H16" s="17"/>
    </row>
    <row r="17" spans="2:8" x14ac:dyDescent="0.25">
      <c r="B17" s="12"/>
      <c r="C17" s="4" t="s">
        <v>18</v>
      </c>
      <c r="D17" s="7">
        <v>1</v>
      </c>
      <c r="E17" s="4" t="s">
        <v>13</v>
      </c>
      <c r="F17" s="50" t="s">
        <v>19</v>
      </c>
      <c r="G17" s="54">
        <v>0.23</v>
      </c>
      <c r="H17" s="18"/>
    </row>
    <row r="18" spans="2:8" x14ac:dyDescent="0.25">
      <c r="B18" s="41"/>
      <c r="C18" s="4" t="s">
        <v>62</v>
      </c>
      <c r="D18" s="7">
        <v>1</v>
      </c>
      <c r="E18" s="37" t="s">
        <v>61</v>
      </c>
      <c r="F18" s="52" t="s">
        <v>61</v>
      </c>
      <c r="G18" s="54">
        <v>1.5</v>
      </c>
      <c r="H18" s="18"/>
    </row>
    <row r="19" spans="2:8" x14ac:dyDescent="0.25">
      <c r="B19" s="41"/>
      <c r="C19" s="4" t="s">
        <v>60</v>
      </c>
      <c r="D19" s="7">
        <v>1</v>
      </c>
      <c r="E19" s="37" t="s">
        <v>61</v>
      </c>
      <c r="F19" s="53" t="s">
        <v>61</v>
      </c>
      <c r="G19" s="54">
        <v>0.8</v>
      </c>
      <c r="H19" s="18"/>
    </row>
    <row r="20" spans="2:8" x14ac:dyDescent="0.25">
      <c r="B20" s="42"/>
      <c r="C20" s="6" t="s">
        <v>54</v>
      </c>
      <c r="D20" s="7" t="s">
        <v>55</v>
      </c>
      <c r="E20" s="4" t="s">
        <v>51</v>
      </c>
      <c r="F20" s="50" t="s">
        <v>56</v>
      </c>
      <c r="G20" s="54">
        <v>2.31</v>
      </c>
      <c r="H20" s="19"/>
    </row>
    <row r="21" spans="2:8" x14ac:dyDescent="0.25">
      <c r="B21" s="10"/>
      <c r="C21" s="6" t="s">
        <v>20</v>
      </c>
      <c r="D21" s="7">
        <v>1</v>
      </c>
      <c r="E21" s="4" t="s">
        <v>21</v>
      </c>
      <c r="F21" s="50" t="s">
        <v>22</v>
      </c>
      <c r="G21" s="54">
        <v>4.1399999999999997</v>
      </c>
      <c r="H21" s="19"/>
    </row>
    <row r="22" spans="2:8" x14ac:dyDescent="0.25">
      <c r="B22" s="10"/>
      <c r="C22" s="4" t="s">
        <v>50</v>
      </c>
      <c r="D22" s="7">
        <v>1</v>
      </c>
      <c r="E22" s="4" t="s">
        <v>51</v>
      </c>
      <c r="F22" s="1" t="s">
        <v>58</v>
      </c>
      <c r="G22" s="54">
        <v>39.99</v>
      </c>
    </row>
    <row r="23" spans="2:8" x14ac:dyDescent="0.25">
      <c r="B23" s="10"/>
      <c r="C23" s="4" t="s">
        <v>52</v>
      </c>
      <c r="D23" s="7">
        <v>1</v>
      </c>
      <c r="E23" s="4" t="s">
        <v>51</v>
      </c>
      <c r="F23" s="1" t="s">
        <v>57</v>
      </c>
      <c r="G23" s="54">
        <v>8.99</v>
      </c>
    </row>
    <row r="24" spans="2:8" x14ac:dyDescent="0.25">
      <c r="B24" s="4"/>
      <c r="C24" s="28" t="s">
        <v>36</v>
      </c>
      <c r="D24" s="29"/>
      <c r="E24" s="29"/>
      <c r="F24" s="29"/>
      <c r="G24" s="54">
        <f>SUM(G5:G19)</f>
        <v>38.579999999999991</v>
      </c>
      <c r="H24" s="17"/>
    </row>
    <row r="25" spans="2:8" x14ac:dyDescent="0.25">
      <c r="B25" s="4"/>
      <c r="C25" s="28" t="s">
        <v>68</v>
      </c>
      <c r="D25" s="29"/>
      <c r="E25" s="29"/>
      <c r="F25" s="29"/>
      <c r="G25" s="54">
        <f>SUM(G4:G23)</f>
        <v>94.009999999999991</v>
      </c>
      <c r="H25" s="17"/>
    </row>
  </sheetData>
  <mergeCells count="12">
    <mergeCell ref="C25:F25"/>
    <mergeCell ref="P2:Z2"/>
    <mergeCell ref="P3:Z3"/>
    <mergeCell ref="P4:Z4"/>
    <mergeCell ref="P5:Z5"/>
    <mergeCell ref="P6:Z6"/>
    <mergeCell ref="P7:Z7"/>
    <mergeCell ref="P8:Z8"/>
    <mergeCell ref="C24:F24"/>
    <mergeCell ref="N2:O2"/>
    <mergeCell ref="B2:G2"/>
    <mergeCell ref="I2:L2"/>
  </mergeCells>
  <hyperlinks>
    <hyperlink ref="F6" r:id="rId1" xr:uid="{387F5498-5CC4-4B8D-8058-ECA37EFA69B7}"/>
    <hyperlink ref="F5" r:id="rId2" xr:uid="{E7A5683F-706E-4727-A9B2-F0553AF56528}"/>
    <hyperlink ref="K4" r:id="rId3" xr:uid="{44D9F9CA-BAA9-4611-BC94-BFB9338A053C}"/>
    <hyperlink ref="K5" r:id="rId4" xr:uid="{46338474-2663-4C15-99B2-2B646A85BAB0}"/>
    <hyperlink ref="K6" r:id="rId5" xr:uid="{183FB97C-D598-440A-B9BB-C6937AA5CC57}"/>
    <hyperlink ref="K7" r:id="rId6" xr:uid="{27FE7637-1312-4427-8F8D-6FE750EA2983}"/>
    <hyperlink ref="F15" r:id="rId7" xr:uid="{F4F3CE60-79E4-4084-8274-6912FD1CB5E8}"/>
    <hyperlink ref="F17" r:id="rId8" xr:uid="{898C06DA-EBA5-47F6-807D-3F7012F21417}"/>
    <hyperlink ref="F20" r:id="rId9" display="https://www.amazon.co.uk/eSUN-Filament-Dimensional-Accuracy-Printing/dp/B086GTG1D8/ref=asc_df_B086GTG1D8?mcid=6d27279c4d7e39c191d872e0db27c5c8&amp;hvocijid=1417253840599532592-B086GTG1D8-&amp;hvexpln=74&amp;tag=googshopuk-21&amp;linkCode=df0&amp;hvadid=696285193871&amp;hvpos=&amp;hvnetw=g&amp;hvrand=1417253840599532592&amp;hvpone=&amp;hvptwo=&amp;hvqmt=&amp;hvdev=c&amp;hvdvcmdl=&amp;hvlocint=&amp;hvlocphy=9193017&amp;hvtargid=pla-2281435178058&amp;psc=1&amp;gad_source=1" xr:uid="{6B1D722E-9511-4539-97AA-A17CE7F2FE12}"/>
    <hyperlink ref="F23" r:id="rId10" display="https://www.amazon.co.uk/100-240V-Converter-Adapter-Portable-Approved/dp/B019RO949C/ref=mp_s_a_1_1_sspa?crid=1I14AD1ZQVFS4&amp;dib=eyJ2IjoiMSJ9.j69j5qjg-55EBNvZdXJeb0goy_4D8aRK97TzilGvVZmEkHI1UteIf80jpTmbhp_71WSxLoJbAYFZek7OX2sugwiHtn57TW67j0kubywMVuVhFya1PhMD1O1BjRSSiXCqC3WcDBIyjcG3XFsCcV1T352Wf-Yx3N3-av2wa0htSmIHzU8H7dxd-aBl32coD9I0bAhZw0GfRCjbzkVO0e8GrA.k4kyqDWxFP-GmD-r8DqAnYmfgAiwE9ZkLzdqC9awVLI&amp;dib_tag=se&amp;keywords=amazon+12v+adapter+dc&amp;qid=1742076824&amp;sprefix=amazon+12v+adapter+dc%2Caps%2C92&amp;sr=8-1-spons&amp;sp_csd=d2lkZ2V0TmFtZT1zcF9waG9uZV9zZWFyY2hfYXRm&amp;psc=1" xr:uid="{797DF35C-98BC-44C7-A9FB-B2552E749C84}"/>
    <hyperlink ref="F22" r:id="rId11" display="https://www.amazon.co.uk/LOGNWEI-Variable-4-Digital-%EF%BC%8CVariable-Electroplating/dp/B07MDVTTM7/ref=mp_s_a_1_8?crid=1T63SYRIVKAMH&amp;dib=eyJ2IjoiMSJ9.tKJaEE72lsRrZqxz3W63mDkvfUo0guIp0J_uediDFgcu6BicU75ugsT9m-OiAKTCyoXFXM9CBgi9nrKR_NLC5ZCGts7uWkpyO2NzSv9rhiYEqSGaHL9bOC4q2H-ewqkJidcs4Mpg6TN18f4kFTgyqfrV_G2lCwjYYQ7qPJRK-zm5b7dCOrA7VYEfeodpdtlFPWilasWqziQVyZtLPcuPsA.Zf-hFy3f9p9waqnZK99MGCSjJdOdimamAu96FxLIHUE&amp;dib_tag=se&amp;keywords=variable+12v+dc+power+supply&amp;qid=1742075898&amp;sprefix=variable+12v+dc+power+supply%2Caps%2C92&amp;sr=8-8" xr:uid="{379F19F8-4917-45DE-A012-EC3935D380A0}"/>
    <hyperlink ref="F13" r:id="rId12" xr:uid="{22FD2C0B-6468-42F9-8907-4ACDD5D1C2F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a26238-b678-47af-8b5c-2bc969948d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3E1ADDB4BE247AA0CE19BC0656115" ma:contentTypeVersion="11" ma:contentTypeDescription="Create a new document." ma:contentTypeScope="" ma:versionID="e9cb51a71ac716e14858a46c29ffb983">
  <xsd:schema xmlns:xsd="http://www.w3.org/2001/XMLSchema" xmlns:xs="http://www.w3.org/2001/XMLSchema" xmlns:p="http://schemas.microsoft.com/office/2006/metadata/properties" xmlns:ns2="92a26238-b678-47af-8b5c-2bc969948dac" targetNamespace="http://schemas.microsoft.com/office/2006/metadata/properties" ma:root="true" ma:fieldsID="e768f8a9afaefac106149395fa5129f5" ns2:_="">
    <xsd:import namespace="92a26238-b678-47af-8b5c-2bc969948d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26238-b678-47af-8b5c-2bc969948d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fc8483d-47e7-4ce8-ae1e-9223d1e9c1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FDA737-98E1-4B86-9060-D59254395EBD}">
  <ds:schemaRefs>
    <ds:schemaRef ds:uri="92a26238-b678-47af-8b5c-2bc969948dac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4625346-170A-4B84-A13C-F0D71E6EC7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4CDD8C-3F6F-45C5-9C4D-C7703DF69D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a26238-b678-47af-8b5c-2bc969948d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Cem Musabak</dc:creator>
  <cp:keywords/>
  <dc:description/>
  <cp:lastModifiedBy>Aryan Koralage</cp:lastModifiedBy>
  <cp:revision/>
  <dcterms:created xsi:type="dcterms:W3CDTF">2025-02-13T17:42:17Z</dcterms:created>
  <dcterms:modified xsi:type="dcterms:W3CDTF">2025-03-23T00:43:05Z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0x0101007C73E1ADDB4BE247AA0CE19BC0656115</vt:lpwstr>
  </property>
  <property fmtid="{D5CDD505-2E9C-101B-9397-08002B2CF9AE}" pid="3" name="MediaServiceImageTags">
    <vt:lpwstr/>
  </property>
</Properties>
</file>